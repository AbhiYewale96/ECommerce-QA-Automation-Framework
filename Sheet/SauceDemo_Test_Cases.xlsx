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600" activeTab="1"/>
  </bookViews>
  <sheets>
    <sheet name="Test Cases" sheetId="1" r:id="rId1"/>
    <sheet name="Execution Summary" sheetId="2" r:id="rId2"/>
  </sheets>
  <calcPr calcId="152511"/>
</workbook>
</file>

<file path=xl/calcChain.xml><?xml version="1.0" encoding="utf-8"?>
<calcChain xmlns="http://schemas.openxmlformats.org/spreadsheetml/2006/main">
  <c r="B10" i="2" l="1"/>
  <c r="E4" i="2"/>
  <c r="D4" i="2"/>
  <c r="C4" i="2"/>
  <c r="B4" i="2"/>
  <c r="F4" i="2" s="1"/>
  <c r="E3" i="2"/>
  <c r="D3" i="2"/>
  <c r="C3" i="2"/>
  <c r="B3" i="2"/>
  <c r="F3" i="2" s="1"/>
  <c r="E2" i="2"/>
  <c r="E5" i="2" s="1"/>
  <c r="D2" i="2"/>
  <c r="D5" i="2" s="1"/>
  <c r="B9" i="2" s="1"/>
  <c r="C2" i="2"/>
  <c r="C5" i="2" s="1"/>
  <c r="B2" i="2"/>
  <c r="F2" i="2" s="1"/>
  <c r="B5" i="2" l="1"/>
  <c r="B8" i="2" l="1"/>
  <c r="F5" i="2"/>
</calcChain>
</file>

<file path=xl/sharedStrings.xml><?xml version="1.0" encoding="utf-8"?>
<sst xmlns="http://schemas.openxmlformats.org/spreadsheetml/2006/main" count="222" uniqueCount="135">
  <si>
    <t>Module</t>
  </si>
  <si>
    <t>TC ID</t>
  </si>
  <si>
    <t>Total Tests</t>
  </si>
  <si>
    <t>Passed</t>
  </si>
  <si>
    <t>Failed</t>
  </si>
  <si>
    <t>Blocked</t>
  </si>
  <si>
    <t>Pass %</t>
  </si>
  <si>
    <t>Test Type</t>
  </si>
  <si>
    <t>Login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</si>
  <si>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</si>
  <si>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</si>
  <si>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</si>
  <si>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</si>
  <si>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</si>
  <si>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</si>
  <si>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</si>
  <si>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</si>
  <si>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TC_001</t>
  </si>
  <si>
    <t>Functional</t>
  </si>
  <si>
    <t>Verify login with valid credentials</t>
  </si>
  <si>
    <t>User is on SauceDemo login page</t>
  </si>
  <si>
    <t>1. Enter valid username
2. Enter valid password
3. Click Login button</t>
  </si>
  <si>
    <t>Username: standard_user
Password: secret_sauce</t>
  </si>
  <si>
    <t>User should navigate to Products (inventory) page successfully with URL containing '/inventory.html'</t>
  </si>
  <si>
    <t>Navigated to Products page as expected</t>
  </si>
  <si>
    <t>Pass</t>
  </si>
  <si>
    <t>High</t>
  </si>
  <si>
    <t>TC_002</t>
  </si>
  <si>
    <t>Negative</t>
  </si>
  <si>
    <t>Verify login with invalid username</t>
  </si>
  <si>
    <t>1. Enter invalid username
2. Enter valid password
3. Click Login button</t>
  </si>
  <si>
    <t>Username: invalid_user
Password: secret_sauce</t>
  </si>
  <si>
    <t>Error message 'Epic sadface: Username and password do not match any user in this service' should be displayed</t>
  </si>
  <si>
    <t>Error message displayed as expected</t>
  </si>
  <si>
    <t>TC_003</t>
  </si>
  <si>
    <t>Verify login with invalid password</t>
  </si>
  <si>
    <t>1. Enter valid username
2. Enter invalid password
3. Click Login button</t>
  </si>
  <si>
    <t>Username: standard_user
Password: wrong_password</t>
  </si>
  <si>
    <t>TC_004</t>
  </si>
  <si>
    <t>Verify login with both invalid credentials</t>
  </si>
  <si>
    <t>1. Enter invalid username
2. Enter invalid password
3. Click Login button</t>
  </si>
  <si>
    <t>Username: invalid_user
Password: wrong_password</t>
  </si>
  <si>
    <t>TC_005</t>
  </si>
  <si>
    <t>Verify login with empty username</t>
  </si>
  <si>
    <t>1. Leave username field blank
2. Enter valid password
3. Click Login button</t>
  </si>
  <si>
    <t>Username: (blank)
Password: secret_sauce</t>
  </si>
  <si>
    <t>Validation error 'Epic sadface: Username is required' should be displayed</t>
  </si>
  <si>
    <t>Validation error displayed as expected</t>
  </si>
  <si>
    <t>TC_006</t>
  </si>
  <si>
    <t>Verify login with empty password</t>
  </si>
  <si>
    <t>1. Enter valid username
2. Leave password field blank
3. Click Login button</t>
  </si>
  <si>
    <t>Username: standard_user
Password: (blank)</t>
  </si>
  <si>
    <t>Validation error 'Epic sadface: Password is required' should be displayed</t>
  </si>
  <si>
    <t>TC_007</t>
  </si>
  <si>
    <t>Verify login with both username and password blank</t>
  </si>
  <si>
    <t>1. Leave username field blank
2. Leave password field blank
3. Click Login button</t>
  </si>
  <si>
    <t>Username: (blank)
Password: (blank)</t>
  </si>
  <si>
    <t>Medium</t>
  </si>
  <si>
    <t>TC_008</t>
  </si>
  <si>
    <t>Product</t>
  </si>
  <si>
    <t>Verify adding a single product to cart</t>
  </si>
  <si>
    <t>User is logged in and on Products page</t>
  </si>
  <si>
    <t>1. Locate 'Sauce Labs Backpack'
2. Click 'Add to cart' button</t>
  </si>
  <si>
    <t>Product: Sauce Labs Backpack</t>
  </si>
  <si>
    <t>Button text should change to 'Remove' and Cart badge count should display '1'</t>
  </si>
  <si>
    <t>Button changed to 'Remove' and badge count updated to 1</t>
  </si>
  <si>
    <t>TC_009</t>
  </si>
  <si>
    <t>Verify removing a product from cart on inventory page</t>
  </si>
  <si>
    <t>'Sauce Labs Backpack' is already added to cart</t>
  </si>
  <si>
    <t>1. Click 'Remove' button on 'Sauce Labs Backpack'</t>
  </si>
  <si>
    <t>Button text should change back to 'Add to cart' and Cart badge should disappear / update</t>
  </si>
  <si>
    <t>Product removed from cart and button changed to 'Add to cart'</t>
  </si>
  <si>
    <t>TC_010</t>
  </si>
  <si>
    <t>Verify cart badge count increments correctly with multiple items</t>
  </si>
  <si>
    <t>User is logged in and cart is empty</t>
  </si>
  <si>
    <t>1. Click 'Add to cart' on 'Sauce Labs Backpack'
2. Click 'Add to cart' on 'Sauce Labs Bike Light'</t>
  </si>
  <si>
    <t>Products: Backpack, Bike Light</t>
  </si>
  <si>
    <t>Cart badge count should display '2'</t>
  </si>
  <si>
    <t>Cart badge count displays 2</t>
  </si>
  <si>
    <t>TC_011</t>
  </si>
  <si>
    <t>UI</t>
  </si>
  <si>
    <t>Verify product item details on inventory page</t>
  </si>
  <si>
    <t>1. Inspect product card for 'Sauce Labs Backpack'
2. Verify product image, title, description, and price ($29.99)</t>
  </si>
  <si>
    <t>Product image, title, complete description, and correct price ($29.99) should be clearly visible</t>
  </si>
  <si>
    <t>All product details displayed properly</t>
  </si>
  <si>
    <t>TC_012</t>
  </si>
  <si>
    <t>Verify opening Cart page after adding product</t>
  </si>
  <si>
    <t>At least one product added to cart</t>
  </si>
  <si>
    <t>1. Click on shopping cart icon at top right corner</t>
  </si>
  <si>
    <t>URL: /cart.html</t>
  </si>
  <si>
    <t>Cart page should open with page title 'Your Cart' and URL containing '/cart.html'</t>
  </si>
  <si>
    <t>Cart page opened successfully with added product listed</t>
  </si>
  <si>
    <t>TC_013</t>
  </si>
  <si>
    <t>Verify added products are displayed correctly on Cart page</t>
  </si>
  <si>
    <t>User is logged in and has added Backpack and Bike Light</t>
  </si>
  <si>
    <t>1. Click on shopping cart icon
2. Verify listed products, quantities, and prices</t>
  </si>
  <si>
    <t>Sauce Labs Backpack ($29.99), Sauce Labs Bike Light ($9.99)</t>
  </si>
  <si>
    <t>Both products should be listed with quantity 1 and matching prices</t>
  </si>
  <si>
    <t>Both items displayed accurately in the cart</t>
  </si>
  <si>
    <t>TC_014</t>
  </si>
  <si>
    <t>Checkout</t>
  </si>
  <si>
    <t>Verify complete end-to-end checkout flow with valid details</t>
  </si>
  <si>
    <t>User has item in cart and is on Cart page</t>
  </si>
  <si>
    <t>1. Click 'Checkout'
2. Enter valid First Name, Last Name, and Postal Code
3. Click 'Continue'
4. Verify summary and click 'Finish'</t>
  </si>
  <si>
    <t>First Name: Abhi, Last Name: Yewale, Postal Code: 431001</t>
  </si>
  <si>
    <t>Order should be placed successfully and 'Checkout: Complete!' page with message 'Thank you for your order!' should be displayed</t>
  </si>
  <si>
    <t>Order placed successfully, 'Thank you for your order!' displayed</t>
  </si>
  <si>
    <t>TC_015</t>
  </si>
  <si>
    <t>Verify checkout step one with empty First Name</t>
  </si>
  <si>
    <t>User is on 'Checkout: Your Information' page</t>
  </si>
  <si>
    <t>1. Leave First Name blank
2. Enter Last Name and Postal Code
3. Click 'Continue'</t>
  </si>
  <si>
    <t>First Name: (blank), Last Name: Yewale, Postal Code: 431001</t>
  </si>
  <si>
    <t>Error message 'Error: First Name is required' should appear</t>
  </si>
  <si>
    <t>Error message 'Error: First Name is required' displayed</t>
  </si>
  <si>
    <t>TC_016</t>
  </si>
  <si>
    <t>Verify checkout step one with empty Last Name</t>
  </si>
  <si>
    <t>1. Enter First Name
2. Leave Last Name blank
3. Enter Postal Code
4. Click 'Continue'</t>
  </si>
  <si>
    <t>First Name: Abhi, Last Name: (blank), Postal Code: 431001</t>
  </si>
  <si>
    <t>Error message 'Error: Last Name is required' should appear</t>
  </si>
  <si>
    <t>Error message 'Error: Last Name is required' displayed</t>
  </si>
  <si>
    <t>TC_017</t>
  </si>
  <si>
    <t>Verify checkout step one with empty Postal Code</t>
  </si>
  <si>
    <t>1. Enter First Name and Last Name
2. Leave Postal Code blank
3. Click 'Continue'</t>
  </si>
  <si>
    <t>First Name: Abhi, Last Name: Yewale, Postal Code: (blank)</t>
  </si>
  <si>
    <t>Error message 'Error: Postal Code is required' should appear</t>
  </si>
  <si>
    <t>Error message 'Error: Postal Code is required' displayed</t>
  </si>
  <si>
    <t>TC_018</t>
  </si>
  <si>
    <t>Verify checkout step one with all information fields empty</t>
  </si>
  <si>
    <t>1. Leave First Name, Last Name, and Postal Code blank
2. Click 'Continue'</t>
  </si>
  <si>
    <t>All fields blank</t>
  </si>
  <si>
    <t>Error message 'Error: First Name is required' should be displayed</t>
  </si>
  <si>
    <t>Total</t>
  </si>
  <si>
    <t>Execution Progress</t>
  </si>
  <si>
    <t>Suite Health</t>
  </si>
  <si>
    <t>Critical Blockers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</si>
</sst>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5">
    <font>
      <sz val="11"/>
      <color theme="1"/>
      <name val="Calibri"/>
      <scheme val="minor"/>
    </font>
    <font>
      <b/>
      <sz val="10"/>
      <color rgb="FFFFFFFF"/>
      <name val="Roboto"/>
    </font>
    <font>
      <b/>
      <sz val="10"/>
      <color theme="1"/>
      <name val="Roboto"/>
    </font>
    <font>
      <sz val="9"/>
      <color rgb="FF1A1B1F"/>
      <name val="Roboto"/>
    </font>
    <font>
      <sz val="1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rgb="FF435E91"/>
        <bgColor rgb="FF435E91"/>
      </patternFill>
    </fill>
    <fill>
      <patternFill patternType="solid">
        <fgColor rgb="FFECEFFF"/>
        <bgColor rgb="FFECEFFF"/>
      </patternFill>
    </fill>
    <fill>
      <patternFill patternType="solid">
        <fgColor rgb="FFF8F8FB"/>
        <bgColor rgb="FFF8F8F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8DDE8"/>
      </left>
      <right style="thin">
        <color rgb="FFD8DDE8"/>
      </right>
      <top style="thin">
        <color rgb="FFD8DDE8"/>
      </top>
      <bottom style="thin">
        <color rgb="FFD8DDE8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3" fontId="4" fillId="0" borderId="0" xfId="0" applyNumberFormat="1" applyFont="1" applyAlignment="1">
      <alignment horizontal="right" vertical="center"/>
    </xf>
    <xf numFmtId="0" fontId="3" fillId="0" borderId="0" xfId="0" quotePrefix="1" applyFont="1" applyAlignment="1">
      <alignment horizontal="left" vertical="top" wrapText="1"/>
    </xf>
    <xf numFmtId="164" fontId="4" fillId="0" borderId="0" xfId="0" applyNumberFormat="1" applyFont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9" fontId="2" fillId="4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1" fontId="2" fillId="4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3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12.26953125" customWidth="1"/>
    <col min="2" max="2" width="14.453125" customWidth="1"/>
    <col min="3" max="3" width="15.81640625" customWidth="1"/>
    <col min="4" max="4" width="31.54296875" customWidth="1"/>
    <col min="5" max="5" width="28.7265625" customWidth="1"/>
    <col min="6" max="6" width="34.453125" customWidth="1"/>
    <col min="7" max="7" width="25.81640625" customWidth="1"/>
    <col min="8" max="8" width="34.453125" customWidth="1"/>
    <col min="9" max="9" width="31.54296875" customWidth="1"/>
    <col min="10" max="10" width="15.08984375" customWidth="1"/>
    <col min="11" max="11" width="14.453125" customWidth="1"/>
    <col min="12" max="23" width="8.7265625" customWidth="1"/>
  </cols>
  <sheetData>
    <row r="1" spans="1:11" ht="27" customHeight="1">
      <c r="A1" s="2" t="s">
        <v>1</v>
      </c>
      <c r="B1" s="2" t="s">
        <v>0</v>
      </c>
      <c r="C1" s="2" t="s">
        <v>7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5" t="s">
        <v>16</v>
      </c>
    </row>
    <row r="2" spans="1:11" ht="34.5">
      <c r="A2" s="6" t="s">
        <v>17</v>
      </c>
      <c r="B2" s="6" t="s">
        <v>8</v>
      </c>
      <c r="C2" s="6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6" t="s">
        <v>25</v>
      </c>
      <c r="K2" s="6" t="s">
        <v>26</v>
      </c>
    </row>
    <row r="3" spans="1:11" ht="34.5">
      <c r="A3" s="6" t="s">
        <v>27</v>
      </c>
      <c r="B3" s="6" t="s">
        <v>8</v>
      </c>
      <c r="C3" s="6" t="s">
        <v>28</v>
      </c>
      <c r="D3" s="7" t="s">
        <v>29</v>
      </c>
      <c r="E3" s="7" t="s">
        <v>20</v>
      </c>
      <c r="F3" s="7" t="s">
        <v>30</v>
      </c>
      <c r="G3" s="7" t="s">
        <v>31</v>
      </c>
      <c r="H3" s="7" t="s">
        <v>32</v>
      </c>
      <c r="I3" s="7" t="s">
        <v>33</v>
      </c>
      <c r="J3" s="6" t="s">
        <v>25</v>
      </c>
      <c r="K3" s="6" t="s">
        <v>26</v>
      </c>
    </row>
    <row r="4" spans="1:11" ht="34.5">
      <c r="A4" s="6" t="s">
        <v>34</v>
      </c>
      <c r="B4" s="6" t="s">
        <v>8</v>
      </c>
      <c r="C4" s="6" t="s">
        <v>28</v>
      </c>
      <c r="D4" s="7" t="s">
        <v>35</v>
      </c>
      <c r="E4" s="7" t="s">
        <v>20</v>
      </c>
      <c r="F4" s="7" t="s">
        <v>36</v>
      </c>
      <c r="G4" s="7" t="s">
        <v>37</v>
      </c>
      <c r="H4" s="7" t="s">
        <v>32</v>
      </c>
      <c r="I4" s="7" t="s">
        <v>33</v>
      </c>
      <c r="J4" s="6" t="s">
        <v>25</v>
      </c>
      <c r="K4" s="6" t="s">
        <v>26</v>
      </c>
    </row>
    <row r="5" spans="1:11" ht="34.5">
      <c r="A5" s="6" t="s">
        <v>38</v>
      </c>
      <c r="B5" s="6" t="s">
        <v>8</v>
      </c>
      <c r="C5" s="6" t="s">
        <v>28</v>
      </c>
      <c r="D5" s="7" t="s">
        <v>39</v>
      </c>
      <c r="E5" s="7" t="s">
        <v>20</v>
      </c>
      <c r="F5" s="7" t="s">
        <v>40</v>
      </c>
      <c r="G5" s="7" t="s">
        <v>41</v>
      </c>
      <c r="H5" s="7" t="s">
        <v>32</v>
      </c>
      <c r="I5" s="7" t="s">
        <v>33</v>
      </c>
      <c r="J5" s="6" t="s">
        <v>25</v>
      </c>
      <c r="K5" s="6" t="s">
        <v>26</v>
      </c>
    </row>
    <row r="6" spans="1:11" ht="34.5">
      <c r="A6" s="6" t="s">
        <v>42</v>
      </c>
      <c r="B6" s="6" t="s">
        <v>8</v>
      </c>
      <c r="C6" s="6" t="s">
        <v>28</v>
      </c>
      <c r="D6" s="7" t="s">
        <v>43</v>
      </c>
      <c r="E6" s="7" t="s">
        <v>20</v>
      </c>
      <c r="F6" s="7" t="s">
        <v>44</v>
      </c>
      <c r="G6" s="7" t="s">
        <v>45</v>
      </c>
      <c r="H6" s="7" t="s">
        <v>46</v>
      </c>
      <c r="I6" s="7" t="s">
        <v>47</v>
      </c>
      <c r="J6" s="6" t="s">
        <v>25</v>
      </c>
      <c r="K6" s="6" t="s">
        <v>26</v>
      </c>
    </row>
    <row r="7" spans="1:11" ht="34.5">
      <c r="A7" s="6" t="s">
        <v>48</v>
      </c>
      <c r="B7" s="6" t="s">
        <v>8</v>
      </c>
      <c r="C7" s="6" t="s">
        <v>28</v>
      </c>
      <c r="D7" s="7" t="s">
        <v>49</v>
      </c>
      <c r="E7" s="7" t="s">
        <v>20</v>
      </c>
      <c r="F7" s="7" t="s">
        <v>50</v>
      </c>
      <c r="G7" s="7" t="s">
        <v>51</v>
      </c>
      <c r="H7" s="7" t="s">
        <v>52</v>
      </c>
      <c r="I7" s="7" t="s">
        <v>47</v>
      </c>
      <c r="J7" s="6" t="s">
        <v>25</v>
      </c>
      <c r="K7" s="6" t="s">
        <v>26</v>
      </c>
    </row>
    <row r="8" spans="1:11" ht="34.5">
      <c r="A8" s="6" t="s">
        <v>53</v>
      </c>
      <c r="B8" s="6" t="s">
        <v>8</v>
      </c>
      <c r="C8" s="6" t="s">
        <v>28</v>
      </c>
      <c r="D8" s="7" t="s">
        <v>54</v>
      </c>
      <c r="E8" s="7" t="s">
        <v>20</v>
      </c>
      <c r="F8" s="7" t="s">
        <v>55</v>
      </c>
      <c r="G8" s="7" t="s">
        <v>56</v>
      </c>
      <c r="H8" s="7" t="s">
        <v>46</v>
      </c>
      <c r="I8" s="7" t="s">
        <v>47</v>
      </c>
      <c r="J8" s="6" t="s">
        <v>25</v>
      </c>
      <c r="K8" s="6" t="s">
        <v>57</v>
      </c>
    </row>
    <row r="9" spans="1:11" ht="23">
      <c r="A9" s="6" t="s">
        <v>58</v>
      </c>
      <c r="B9" s="6" t="s">
        <v>59</v>
      </c>
      <c r="C9" s="6" t="s">
        <v>18</v>
      </c>
      <c r="D9" s="7" t="s">
        <v>60</v>
      </c>
      <c r="E9" s="7" t="s">
        <v>61</v>
      </c>
      <c r="F9" s="7" t="s">
        <v>62</v>
      </c>
      <c r="G9" s="7" t="s">
        <v>63</v>
      </c>
      <c r="H9" s="7" t="s">
        <v>64</v>
      </c>
      <c r="I9" s="7" t="s">
        <v>65</v>
      </c>
      <c r="J9" s="6" t="s">
        <v>25</v>
      </c>
      <c r="K9" s="6" t="s">
        <v>26</v>
      </c>
    </row>
    <row r="10" spans="1:11" ht="34.5">
      <c r="A10" s="6" t="s">
        <v>66</v>
      </c>
      <c r="B10" s="6" t="s">
        <v>59</v>
      </c>
      <c r="C10" s="6" t="s">
        <v>18</v>
      </c>
      <c r="D10" s="7" t="s">
        <v>67</v>
      </c>
      <c r="E10" s="9" t="s">
        <v>68</v>
      </c>
      <c r="F10" s="7" t="s">
        <v>69</v>
      </c>
      <c r="G10" s="7" t="s">
        <v>63</v>
      </c>
      <c r="H10" s="7" t="s">
        <v>70</v>
      </c>
      <c r="I10" s="7" t="s">
        <v>71</v>
      </c>
      <c r="J10" s="6" t="s">
        <v>25</v>
      </c>
      <c r="K10" s="6" t="s">
        <v>57</v>
      </c>
    </row>
    <row r="11" spans="1:11" ht="46">
      <c r="A11" s="6" t="s">
        <v>72</v>
      </c>
      <c r="B11" s="6" t="s">
        <v>59</v>
      </c>
      <c r="C11" s="6" t="s">
        <v>18</v>
      </c>
      <c r="D11" s="7" t="s">
        <v>73</v>
      </c>
      <c r="E11" s="7" t="s">
        <v>74</v>
      </c>
      <c r="F11" s="7" t="s">
        <v>75</v>
      </c>
      <c r="G11" s="7" t="s">
        <v>76</v>
      </c>
      <c r="H11" s="7" t="s">
        <v>77</v>
      </c>
      <c r="I11" s="7" t="s">
        <v>78</v>
      </c>
      <c r="J11" s="6" t="s">
        <v>25</v>
      </c>
      <c r="K11" s="6" t="s">
        <v>26</v>
      </c>
    </row>
    <row r="12" spans="1:11" ht="46">
      <c r="A12" s="6" t="s">
        <v>79</v>
      </c>
      <c r="B12" s="6" t="s">
        <v>59</v>
      </c>
      <c r="C12" s="6" t="s">
        <v>80</v>
      </c>
      <c r="D12" s="7" t="s">
        <v>81</v>
      </c>
      <c r="E12" s="7" t="s">
        <v>61</v>
      </c>
      <c r="F12" s="7" t="s">
        <v>82</v>
      </c>
      <c r="G12" s="7" t="s">
        <v>63</v>
      </c>
      <c r="H12" s="7" t="s">
        <v>83</v>
      </c>
      <c r="I12" s="7" t="s">
        <v>84</v>
      </c>
      <c r="J12" s="6" t="s">
        <v>25</v>
      </c>
      <c r="K12" s="6" t="s">
        <v>57</v>
      </c>
    </row>
    <row r="13" spans="1:11" ht="23">
      <c r="A13" s="6" t="s">
        <v>85</v>
      </c>
      <c r="B13" s="6" t="s">
        <v>59</v>
      </c>
      <c r="C13" s="6" t="s">
        <v>18</v>
      </c>
      <c r="D13" s="7" t="s">
        <v>86</v>
      </c>
      <c r="E13" s="7" t="s">
        <v>87</v>
      </c>
      <c r="F13" s="7" t="s">
        <v>88</v>
      </c>
      <c r="G13" s="7" t="s">
        <v>89</v>
      </c>
      <c r="H13" s="7" t="s">
        <v>90</v>
      </c>
      <c r="I13" s="7" t="s">
        <v>91</v>
      </c>
      <c r="J13" s="6" t="s">
        <v>25</v>
      </c>
      <c r="K13" s="6" t="s">
        <v>26</v>
      </c>
    </row>
    <row r="14" spans="1:11" ht="34.5">
      <c r="A14" s="6" t="s">
        <v>92</v>
      </c>
      <c r="B14" s="6" t="s">
        <v>59</v>
      </c>
      <c r="C14" s="6" t="s">
        <v>18</v>
      </c>
      <c r="D14" s="7" t="s">
        <v>93</v>
      </c>
      <c r="E14" s="7" t="s">
        <v>94</v>
      </c>
      <c r="F14" s="7" t="s">
        <v>95</v>
      </c>
      <c r="G14" s="7" t="s">
        <v>96</v>
      </c>
      <c r="H14" s="7" t="s">
        <v>97</v>
      </c>
      <c r="I14" s="7" t="s">
        <v>98</v>
      </c>
      <c r="J14" s="6" t="s">
        <v>25</v>
      </c>
      <c r="K14" s="6" t="s">
        <v>57</v>
      </c>
    </row>
    <row r="15" spans="1:11" ht="57.5">
      <c r="A15" s="6" t="s">
        <v>99</v>
      </c>
      <c r="B15" s="6" t="s">
        <v>100</v>
      </c>
      <c r="C15" s="6" t="s">
        <v>18</v>
      </c>
      <c r="D15" s="7" t="s">
        <v>101</v>
      </c>
      <c r="E15" s="7" t="s">
        <v>102</v>
      </c>
      <c r="F15" s="7" t="s">
        <v>103</v>
      </c>
      <c r="G15" s="7" t="s">
        <v>104</v>
      </c>
      <c r="H15" s="7" t="s">
        <v>105</v>
      </c>
      <c r="I15" s="7" t="s">
        <v>106</v>
      </c>
      <c r="J15" s="6" t="s">
        <v>25</v>
      </c>
      <c r="K15" s="6" t="s">
        <v>26</v>
      </c>
    </row>
    <row r="16" spans="1:11" ht="34.5">
      <c r="A16" s="6" t="s">
        <v>107</v>
      </c>
      <c r="B16" s="6" t="s">
        <v>100</v>
      </c>
      <c r="C16" s="6" t="s">
        <v>28</v>
      </c>
      <c r="D16" s="7" t="s">
        <v>108</v>
      </c>
      <c r="E16" s="7" t="s">
        <v>109</v>
      </c>
      <c r="F16" s="7" t="s">
        <v>110</v>
      </c>
      <c r="G16" s="7" t="s">
        <v>111</v>
      </c>
      <c r="H16" s="7" t="s">
        <v>112</v>
      </c>
      <c r="I16" s="7" t="s">
        <v>113</v>
      </c>
      <c r="J16" s="6" t="s">
        <v>25</v>
      </c>
      <c r="K16" s="6" t="s">
        <v>57</v>
      </c>
    </row>
    <row r="17" spans="1:11" ht="46">
      <c r="A17" s="6" t="s">
        <v>114</v>
      </c>
      <c r="B17" s="6" t="s">
        <v>100</v>
      </c>
      <c r="C17" s="6" t="s">
        <v>28</v>
      </c>
      <c r="D17" s="7" t="s">
        <v>115</v>
      </c>
      <c r="E17" s="7" t="s">
        <v>109</v>
      </c>
      <c r="F17" s="7" t="s">
        <v>116</v>
      </c>
      <c r="G17" s="7" t="s">
        <v>117</v>
      </c>
      <c r="H17" s="7" t="s">
        <v>118</v>
      </c>
      <c r="I17" s="7" t="s">
        <v>119</v>
      </c>
      <c r="J17" s="6" t="s">
        <v>25</v>
      </c>
      <c r="K17" s="6" t="s">
        <v>57</v>
      </c>
    </row>
    <row r="18" spans="1:11" ht="34.5">
      <c r="A18" s="6" t="s">
        <v>120</v>
      </c>
      <c r="B18" s="6" t="s">
        <v>100</v>
      </c>
      <c r="C18" s="6" t="s">
        <v>28</v>
      </c>
      <c r="D18" s="7" t="s">
        <v>121</v>
      </c>
      <c r="E18" s="7" t="s">
        <v>109</v>
      </c>
      <c r="F18" s="7" t="s">
        <v>122</v>
      </c>
      <c r="G18" s="7" t="s">
        <v>123</v>
      </c>
      <c r="H18" s="7" t="s">
        <v>124</v>
      </c>
      <c r="I18" s="7" t="s">
        <v>125</v>
      </c>
      <c r="J18" s="6" t="s">
        <v>25</v>
      </c>
      <c r="K18" s="6" t="s">
        <v>57</v>
      </c>
    </row>
    <row r="19" spans="1:11" ht="34.5">
      <c r="A19" s="6" t="s">
        <v>126</v>
      </c>
      <c r="B19" s="6" t="s">
        <v>100</v>
      </c>
      <c r="C19" s="6" t="s">
        <v>28</v>
      </c>
      <c r="D19" s="7" t="s">
        <v>127</v>
      </c>
      <c r="E19" s="7" t="s">
        <v>109</v>
      </c>
      <c r="F19" s="7" t="s">
        <v>128</v>
      </c>
      <c r="G19" s="7" t="s">
        <v>129</v>
      </c>
      <c r="H19" s="7" t="s">
        <v>130</v>
      </c>
      <c r="I19" s="7" t="s">
        <v>113</v>
      </c>
      <c r="J19" s="6" t="s">
        <v>25</v>
      </c>
      <c r="K19" s="6" t="s">
        <v>26</v>
      </c>
    </row>
    <row r="20" spans="1:11" ht="15.75" customHeight="1"/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dataValidations count="3">
    <dataValidation type="list" allowBlank="1" sqref="K2:K19">
      <formula1>"Critical,High,Medium,Low"</formula1>
    </dataValidation>
    <dataValidation type="list" allowBlank="1" sqref="J2:J19">
      <formula1>"Pass,Fail,Blocked,In Progress,Not Run"</formula1>
    </dataValidation>
    <dataValidation type="list" allowBlank="1" sqref="C2:C19">
      <formula1>"Functional,Negative,UI,Security,Performance,Edge Case"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8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/>
  <cols>
    <col min="1" max="1" width="23" customWidth="1"/>
    <col min="2" max="2" width="15.81640625" customWidth="1"/>
    <col min="3" max="4" width="14.453125" customWidth="1"/>
    <col min="5" max="5" width="15.81640625" customWidth="1"/>
    <col min="6" max="6" width="14.453125" customWidth="1"/>
    <col min="7" max="25" width="8.7265625" customWidth="1"/>
  </cols>
  <sheetData>
    <row r="1" spans="1:6" ht="24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6</v>
      </c>
    </row>
    <row r="2" spans="1:6" ht="24" customHeight="1">
      <c r="A2" s="4" t="s">
        <v>8</v>
      </c>
      <c r="B2" s="8">
        <f>COUNTIF('Test Cases'!$B$2:$B$19, A2)</f>
        <v>7</v>
      </c>
      <c r="C2" s="8">
        <f>COUNTIFS('Test Cases'!$B$2:$B$19, A2, 'Test Cases'!$J$2:$J$19, "Pass")</f>
        <v>7</v>
      </c>
      <c r="D2" s="8">
        <f>COUNTIFS('Test Cases'!$B$2:$B$19, A2, 'Test Cases'!$J$2:$J$19, "Fail")</f>
        <v>0</v>
      </c>
      <c r="E2" s="8">
        <f>COUNTIFS('Test Cases'!$B$2:$B$19, A2, 'Test Cases'!$J$2:$J$19, "Blocked")</f>
        <v>0</v>
      </c>
      <c r="F2" s="10">
        <f t="shared" ref="F2:F5" si="0">IF(B2&gt;0, C2/B2, 0)</f>
        <v>1</v>
      </c>
    </row>
    <row r="3" spans="1:6" ht="24" customHeight="1">
      <c r="A3" s="4" t="s">
        <v>59</v>
      </c>
      <c r="B3" s="8">
        <f>COUNTIF('Test Cases'!$B$2:$B$19, A3)</f>
        <v>6</v>
      </c>
      <c r="C3" s="8">
        <f>COUNTIFS('Test Cases'!$B$2:$B$19, A3, 'Test Cases'!$J$2:$J$19, "Pass")</f>
        <v>6</v>
      </c>
      <c r="D3" s="8">
        <f>COUNTIFS('Test Cases'!$B$2:$B$19, A3, 'Test Cases'!$J$2:$J$19, "Fail")</f>
        <v>0</v>
      </c>
      <c r="E3" s="8">
        <f>COUNTIFS('Test Cases'!$B$2:$B$19, A3, 'Test Cases'!$J$2:$J$19, "Blocked")</f>
        <v>0</v>
      </c>
      <c r="F3" s="10">
        <f t="shared" si="0"/>
        <v>1</v>
      </c>
    </row>
    <row r="4" spans="1:6" ht="24" customHeight="1">
      <c r="A4" s="4" t="s">
        <v>100</v>
      </c>
      <c r="B4" s="8">
        <f>COUNTIF('Test Cases'!$B$2:$B$19, A4)</f>
        <v>5</v>
      </c>
      <c r="C4" s="8">
        <f>COUNTIFS('Test Cases'!$B$2:$B$19, A4, 'Test Cases'!$J$2:$J$19, "Pass")</f>
        <v>5</v>
      </c>
      <c r="D4" s="8">
        <f>COUNTIFS('Test Cases'!$B$2:$B$19, A4, 'Test Cases'!$J$2:$J$19, "Fail")</f>
        <v>0</v>
      </c>
      <c r="E4" s="8">
        <f>COUNTIFS('Test Cases'!$B$2:$B$19, A4, 'Test Cases'!$J$2:$J$19, "Blocked")</f>
        <v>0</v>
      </c>
      <c r="F4" s="10">
        <f t="shared" si="0"/>
        <v>1</v>
      </c>
    </row>
    <row r="5" spans="1:6" ht="24" customHeight="1">
      <c r="A5" s="11" t="s">
        <v>131</v>
      </c>
      <c r="B5" s="12">
        <f t="shared" ref="B5:E5" si="1">SUM(B2:B4)</f>
        <v>18</v>
      </c>
      <c r="C5" s="12">
        <f t="shared" si="1"/>
        <v>18</v>
      </c>
      <c r="D5" s="12">
        <f t="shared" si="1"/>
        <v>0</v>
      </c>
      <c r="E5" s="12">
        <f t="shared" si="1"/>
        <v>0</v>
      </c>
      <c r="F5" s="13">
        <f t="shared" si="0"/>
        <v>1</v>
      </c>
    </row>
    <row r="6" spans="1:6" ht="24" customHeight="1"/>
    <row r="8" spans="1:6" ht="14.5">
      <c r="A8" s="14" t="s">
        <v>132</v>
      </c>
      <c r="B8" s="15">
        <f>IF(B5&gt;0, (C5+D5+E5)/B5, 0)</f>
        <v>1</v>
      </c>
    </row>
    <row r="9" spans="1:6" ht="14.5">
      <c r="A9" s="14" t="s">
        <v>133</v>
      </c>
      <c r="B9" s="16" t="str">
        <f>IF(D5+E5=0, "Stable", "Defects Identified")</f>
        <v>Stable</v>
      </c>
    </row>
    <row r="10" spans="1:6" ht="14.5">
      <c r="A10" s="14" t="s">
        <v>134</v>
      </c>
      <c r="B10" s="17">
        <f>COUNTIFS('Test Cases'!$K$2:$K$19, "Critical", 'Test Cases'!$J$2:$J$19, "&lt;&gt;Pass")</f>
        <v>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Execution 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2026-10-01T17:32:22Z</dcterms:created>
  <dcterms:modified xsi:type="dcterms:W3CDTF">2026-10-01T17:32:23Z</dcterms:modified>
</cp:coreProperties>
</file>